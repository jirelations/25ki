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nathan/Github/jirelations/25ki/_data/"/>
    </mc:Choice>
  </mc:AlternateContent>
  <xr:revisionPtr revIDLastSave="0" documentId="13_ncr:1_{D2161E74-A5C0-2744-8271-8DE313F64D0E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e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1" l="1"/>
  <c r="U3" i="1"/>
  <c r="U4" i="1"/>
  <c r="U5" i="1"/>
  <c r="U6" i="1"/>
  <c r="U7" i="1"/>
  <c r="U8" i="1"/>
  <c r="U9" i="1"/>
  <c r="U10" i="1"/>
  <c r="U11" i="1"/>
  <c r="U12" i="1"/>
  <c r="U13" i="1"/>
  <c r="U2" i="1"/>
  <c r="V2" i="1"/>
  <c r="T3" i="1"/>
  <c r="V3" i="1"/>
  <c r="T4" i="1"/>
  <c r="V4" i="1"/>
  <c r="T5" i="1"/>
  <c r="V5" i="1"/>
  <c r="T6" i="1"/>
  <c r="V6" i="1"/>
  <c r="T7" i="1"/>
  <c r="V7" i="1"/>
  <c r="T8" i="1"/>
  <c r="V8" i="1"/>
  <c r="T9" i="1"/>
  <c r="V9" i="1"/>
  <c r="T10" i="1"/>
  <c r="V10" i="1"/>
  <c r="T11" i="1"/>
  <c r="V11" i="1"/>
  <c r="T12" i="1"/>
  <c r="V12" i="1"/>
  <c r="T13" i="1"/>
  <c r="T2" i="1"/>
  <c r="W13" i="1" l="1"/>
  <c r="W9" i="1"/>
  <c r="W10" i="1"/>
  <c r="W2" i="1"/>
  <c r="W6" i="1"/>
  <c r="W11" i="1"/>
  <c r="W3" i="1"/>
  <c r="W5" i="1"/>
  <c r="W12" i="1"/>
  <c r="W7" i="1"/>
  <c r="W8" i="1"/>
  <c r="W4" i="1"/>
  <c r="E12" i="1"/>
  <c r="S12" i="1" s="1"/>
  <c r="E13" i="1"/>
  <c r="S13" i="1" s="1"/>
  <c r="Q2" i="1"/>
  <c r="R2" i="1" s="1"/>
  <c r="Q3" i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K2" i="1"/>
  <c r="K3" i="1"/>
  <c r="K4" i="1"/>
  <c r="K5" i="1"/>
  <c r="K6" i="1"/>
  <c r="K7" i="1"/>
  <c r="K8" i="1"/>
  <c r="K9" i="1"/>
  <c r="K10" i="1"/>
  <c r="K11" i="1"/>
  <c r="K12" i="1"/>
  <c r="K13" i="1"/>
  <c r="J3" i="1"/>
  <c r="J4" i="1"/>
  <c r="J5" i="1"/>
  <c r="J6" i="1"/>
  <c r="J7" i="1"/>
  <c r="J8" i="1"/>
  <c r="J9" i="1"/>
  <c r="J10" i="1"/>
  <c r="J11" i="1"/>
  <c r="J12" i="1"/>
  <c r="J13" i="1"/>
  <c r="J2" i="1"/>
  <c r="M3" i="1"/>
  <c r="M4" i="1"/>
  <c r="M5" i="1"/>
  <c r="M6" i="1"/>
  <c r="M7" i="1"/>
  <c r="M8" i="1"/>
  <c r="M9" i="1"/>
  <c r="M10" i="1"/>
  <c r="M11" i="1"/>
  <c r="M12" i="1"/>
  <c r="M13" i="1"/>
  <c r="M2" i="1"/>
  <c r="E10" i="1"/>
  <c r="S10" i="1" s="1"/>
  <c r="E4" i="1"/>
  <c r="S4" i="1" s="1"/>
  <c r="E11" i="1"/>
  <c r="S11" i="1" s="1"/>
  <c r="E3" i="1"/>
  <c r="S3" i="1" s="1"/>
  <c r="E9" i="1"/>
  <c r="S9" i="1" s="1"/>
  <c r="E8" i="1"/>
  <c r="S8" i="1" s="1"/>
  <c r="E7" i="1"/>
  <c r="S7" i="1" s="1"/>
  <c r="E6" i="1"/>
  <c r="S6" i="1" s="1"/>
  <c r="E5" i="1"/>
  <c r="S5" i="1" s="1"/>
  <c r="E2" i="1"/>
  <c r="S2" i="1" s="1"/>
</calcChain>
</file>

<file path=xl/sharedStrings.xml><?xml version="1.0" encoding="utf-8"?>
<sst xmlns="http://schemas.openxmlformats.org/spreadsheetml/2006/main" count="95" uniqueCount="79">
  <si>
    <t>blank</t>
  </si>
  <si>
    <t>session</t>
  </si>
  <si>
    <t>date</t>
  </si>
  <si>
    <t>filename</t>
  </si>
  <si>
    <t>unit</t>
  </si>
  <si>
    <t>topic</t>
  </si>
  <si>
    <t>title</t>
  </si>
  <si>
    <t>pad-slug</t>
  </si>
  <si>
    <t>image</t>
  </si>
  <si>
    <t>zotero-tag</t>
  </si>
  <si>
    <t>zotero-readings</t>
  </si>
  <si>
    <t>objective</t>
  </si>
  <si>
    <t>tags</t>
  </si>
  <si>
    <t>contents</t>
  </si>
  <si>
    <t>concepts</t>
  </si>
  <si>
    <t>long-topic</t>
  </si>
  <si>
    <t>Vorstellung</t>
  </si>
  <si>
    <t>Leitfrage</t>
  </si>
  <si>
    <t>slide-filename</t>
  </si>
  <si>
    <t>slide-frontmatter</t>
  </si>
  <si>
    <t>slide-body1</t>
  </si>
  <si>
    <t>slide-body2</t>
  </si>
  <si>
    <t>slide-content</t>
  </si>
  <si>
    <t>time</t>
  </si>
  <si>
    <t>14:15-15:45</t>
  </si>
  <si>
    <t>16:15-17:45</t>
  </si>
  <si>
    <t>10:15-11:45</t>
  </si>
  <si>
    <t>12:15-13:45</t>
  </si>
  <si>
    <t>Einleitung</t>
  </si>
  <si>
    <t>Vorstellung, Ziele, Was ist KI?</t>
  </si>
  <si>
    <t>Was gibt es für Daten in der Religionswissenschaft?</t>
  </si>
  <si>
    <t>Ethik</t>
  </si>
  <si>
    <t>Religionswissenschaftliche Daten</t>
  </si>
  <si>
    <t>LLMs</t>
  </si>
  <si>
    <t>Was sind LLMs?</t>
  </si>
  <si>
    <t>Übung LLMs</t>
  </si>
  <si>
    <t>Daten</t>
  </si>
  <si>
    <t>Programmieren</t>
  </si>
  <si>
    <t>Datentypen</t>
  </si>
  <si>
    <t>Wie sollen unterschiedliche Datentypen und -strukturen berücksichtigt werden?</t>
  </si>
  <si>
    <t>Feinabstimmung</t>
  </si>
  <si>
    <t>Wie können gängige Systeme für religionswissenschaftliche Daten fein abgestimmt werden?</t>
  </si>
  <si>
    <t>KI aus ethischer Sicht</t>
  </si>
  <si>
    <t>Übung Text- und Spracherkennung</t>
  </si>
  <si>
    <t>Übungen mit LLMs</t>
  </si>
  <si>
    <t>Übungen mit Text- und Spracherkennung</t>
  </si>
  <si>
    <t>robot-hand.jpg</t>
  </si>
  <si>
    <t>robot-bench.jpg</t>
  </si>
  <si>
    <t>ai-tablets.jpg</t>
  </si>
  <si>
    <t>ox-bodl-laud-or-258-fol-10b.jpg</t>
  </si>
  <si>
    <t>ai-keyboard.jpg</t>
  </si>
  <si>
    <t>ai-chip.jpg</t>
  </si>
  <si>
    <t>gemini-scrabble.jpg</t>
  </si>
  <si>
    <t>code-memo.jpg</t>
  </si>
  <si>
    <t>laptop-code.jpg</t>
  </si>
  <si>
    <t>data-visualization.jpg</t>
  </si>
  <si>
    <t>stickies.jpg</t>
  </si>
  <si>
    <t>sound-board.jpg</t>
  </si>
  <si>
    <t>Maschinelles Lernen</t>
  </si>
  <si>
    <t>Begriffe Datenreinigung und -analyse I</t>
  </si>
  <si>
    <t>Begriffe: Wie können LLMs für das Programmieren von Datenreinigung bzw. Datenanalyse eingesetzt werden?</t>
  </si>
  <si>
    <t>Übungen Datenreinigung und -analyse II</t>
  </si>
  <si>
    <t>Begriffe Datenvisualisierung I</t>
  </si>
  <si>
    <t>Übungen Datenvisualisierung II</t>
  </si>
  <si>
    <t>Übungen: Wie können LLMs für das Programmieren von Datenreinigung bzw. Datenanalyse eingesetzt werden?</t>
  </si>
  <si>
    <t>Begriffe: Wie können LLMs für das Programmieren von Datenvisualisierung eingesetzt werden?</t>
  </si>
  <si>
    <t>Übungen: Wie können LLMs für das Programmieren von Datenvisualisierung eingesetzt werden?</t>
  </si>
  <si>
    <t>Arten von KI unterscheiden.</t>
  </si>
  <si>
    <t>Die ethischen Aspekte eines KI-Einsatzes abwägen. </t>
  </si>
  <si>
    <t>Erfahrungen mit maschinellem Lernen sammeln.</t>
  </si>
  <si>
    <t>Erfahrungen mit LLMs sammeln.</t>
  </si>
  <si>
    <t>Datentypen und Datenstrukturen grundlegend verstehen.</t>
  </si>
  <si>
    <t>Das breite Spektrum religionswissenschaftlicher Daten erfassen.</t>
  </si>
  <si>
    <t>Die Prozesse der Anpassung und der Feinabstimmung von Modellen erfassen.</t>
  </si>
  <si>
    <t>Best Practices des Programmierens mit LLMs bezüglich Datenreinigung und Datenanalyse erfassen.</t>
  </si>
  <si>
    <t>Erfahrungen mit Datenreinigung und Datenanalyse sammeln.</t>
  </si>
  <si>
    <t>Best Practices des Programmierens mit LLMs bezüglich Datenvisualisierung erfassen.</t>
  </si>
  <si>
    <t>Erfahrungen mit Datenvisualisierung sammeln.</t>
  </si>
  <si>
    <t>Die Grundcharakteristika von Large Language Models skizzieren.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</si>
</sst>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[$-F800]dddd\,\ mmmm\ dd\,\ yyyy"/>
    <numFmt numFmtId="166" formatCode="dd\.mm"/>
    <numFmt numFmtId="167" formatCode="[$-F400]h:mm:ss\ AM/PM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Trebuchet MS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3" fontId="7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/>
    <xf numFmtId="166" fontId="7" fillId="0" borderId="1" xfId="0" applyNumberFormat="1" applyFont="1" applyBorder="1" applyAlignment="1">
      <alignment horizontal="left"/>
    </xf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6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/>
    <xf numFmtId="167" fontId="7" fillId="0" borderId="1" xfId="0" applyNumberFormat="1" applyFont="1" applyBorder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W15"/>
  <sheetViews>
    <sheetView tabSelected="1" topLeftCell="G1" zoomScale="150" zoomScaleNormal="140" workbookViewId="0">
      <selection activeCell="O7" sqref="O7"/>
    </sheetView>
  </sheetViews>
  <sheetFormatPr baseColWidth="10" defaultColWidth="8.83203125" defaultRowHeight="15" x14ac:dyDescent="0.2"/>
  <cols>
    <col min="1" max="1" width="12.5" bestFit="1" customWidth="1"/>
    <col min="2" max="2" width="6.6640625" style="5" bestFit="1" customWidth="1"/>
    <col min="3" max="3" width="11.83203125" bestFit="1" customWidth="1"/>
    <col min="4" max="4" width="11.83203125" customWidth="1"/>
    <col min="5" max="5" width="18.6640625" style="6" customWidth="1"/>
    <col min="6" max="6" width="26.83203125" customWidth="1"/>
    <col min="7" max="8" width="42.6640625" customWidth="1"/>
    <col min="9" max="9" width="32.6640625" customWidth="1"/>
    <col min="10" max="10" width="27.1640625" customWidth="1"/>
    <col min="11" max="11" width="13.1640625" style="5" bestFit="1" customWidth="1"/>
    <col min="12" max="12" width="12.5" bestFit="1" customWidth="1"/>
    <col min="13" max="13" width="31.83203125" bestFit="1" customWidth="1"/>
    <col min="14" max="14" width="16.6640625" bestFit="1" customWidth="1"/>
    <col min="15" max="16" width="77.83203125" customWidth="1"/>
    <col min="17" max="17" width="12.5" bestFit="1" customWidth="1"/>
    <col min="18" max="23" width="44.33203125" style="14" customWidth="1"/>
  </cols>
  <sheetData>
    <row r="1" spans="1:23" ht="19" customHeight="1" x14ac:dyDescent="0.2">
      <c r="A1" s="1" t="s">
        <v>0</v>
      </c>
      <c r="B1" s="2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15</v>
      </c>
      <c r="I1" s="1" t="s">
        <v>14</v>
      </c>
      <c r="J1" s="1" t="s">
        <v>6</v>
      </c>
      <c r="K1" s="2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17</v>
      </c>
      <c r="Q1" s="1" t="s">
        <v>12</v>
      </c>
      <c r="R1" s="13" t="s">
        <v>13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</row>
    <row r="2" spans="1:23" ht="21" customHeight="1" x14ac:dyDescent="0.2">
      <c r="B2" s="3">
        <v>1</v>
      </c>
      <c r="C2" s="8">
        <v>45975</v>
      </c>
      <c r="D2" s="16" t="s">
        <v>24</v>
      </c>
      <c r="E2" s="4" t="str">
        <f t="shared" ref="E2:E13" si="0">IF(LEN(C2),TEXT(C2, "YYYY-MM-DD") &amp; "-" &amp; B2 &amp; ".md",)</f>
        <v>2025-11-14-1.md</v>
      </c>
      <c r="F2" s="4" t="s">
        <v>28</v>
      </c>
      <c r="G2" s="4" t="s">
        <v>16</v>
      </c>
      <c r="H2" s="4" t="s">
        <v>29</v>
      </c>
      <c r="I2" s="7"/>
      <c r="J2" t="str">
        <f t="shared" ref="J2:J13" si="1">B2 &amp; ". " &amp; F2 &amp; ": " &amp; H2</f>
        <v>1. Einleitung: Vorstellung, Ziele, Was ist KI?</v>
      </c>
      <c r="K2" s="3">
        <f t="shared" ref="K2:K13" si="2">B2</f>
        <v>1</v>
      </c>
      <c r="L2" t="s">
        <v>46</v>
      </c>
      <c r="M2" t="str">
        <f t="shared" ref="M2:M13" si="3">SUBSTITUTE(SUBSTITUTE(SUBSTITUTE(SUBSTITUTE(B2 &amp; ". " &amp; G2,".",""),"&amp;","")," ","-"),"--","-")</f>
        <v>1-Vorstellung</v>
      </c>
      <c r="O2" s="17" t="s">
        <v>67</v>
      </c>
      <c r="Q2" t="str">
        <f t="shared" ref="Q2:Q13" si="4">"["&amp;B2&amp;"]"</f>
        <v>[1]</v>
      </c>
      <c r="R2" s="14" t="str">
        <f t="shared" ref="R2" si="5">"---
layout: post
" &amp; B$1 &amp; ": " &amp; B2 &amp; "
" &amp; Q$1 &amp; ": " &amp; Q2 &amp; "
level: overview
---"</f>
        <v>---
layout: post
session: 1
tags: [1]
level: overview
---</v>
      </c>
      <c r="S2" s="14" t="str">
        <f>_xlfn.REGEXREPLACE(E2,"\.md","-slides.md")</f>
        <v>2025-11-14-1-slides.md</v>
      </c>
      <c r="T2" s="14" t="str">
        <f t="shared" ref="T2:T13" si="6">"---
layout: reveal
title: '"&amp;H2&amp;"'
author: 'Nathan Gibson'
session: "&amp;B2&amp;"
tags: ["&amp;B2&amp;",slides]
category: slides
image: "&amp;L2&amp;"
parallaxBackgroundImage: 'assets/img/"&amp;L2&amp;"'
---
"</f>
        <v xml:space="preserve">---
layout: reveal
title: 'Vorstellung, Ziele, Was ist KI?'
author: 'Nathan Gibson'
session: 1
tags: [1,slides]
category: slides
image: robot-hand.jpg
parallaxBackgroundImage: 'assets/img/robot-hand.jpg'
---
</v>
      </c>
      <c r="U2" s="14" t="str">
        <f>"# Einführung in die 
### Religionswissenschaft
{: .r-fit-text}
### "&amp;H2&amp;"
Wintersemester 2025/2026
Prof. Dr. Nathan Gibson
## 📈 Rückblick: Lernziel
"&amp;O1&amp;"
## 📈 Rückblick: 
## Projekt
## Einleitung
## Heutiges Lernziel
"&amp;O2</f>
        <v># Einführung in die 
### Religionswissenschaft
{: .r-fit-text}
### Vorstellung, Ziele, Was ist KI?
Wintersemester 2025/2026
Prof. Dr. Nathan Gibson
## 📈 Rückblick: Lernziel
objective
## 📈 Rückblick: 
## Projekt
## Einleitung
## Heutiges Lernziel
Arten von KI unterscheiden.</v>
      </c>
      <c r="V2" s="14" t="str">
        <f>"
## Lektüre
## Diskussion
## Vorschau
"&amp;H3</f>
        <v xml:space="preserve">
## Lektüre
## Diskussion
## Vorschau
KI aus ethischer Sicht</v>
      </c>
      <c r="W2" s="14" t="str">
        <f>_xlfn.CONCAT(T2:V2)</f>
        <v>---
layout: reveal
title: 'Vorstellung, Ziele, Was ist KI?'
author: 'Nathan Gibson'
session: 1
tags: [1,slides]
category: slides
image: robot-hand.jpg
parallaxBackgroundImage: 'assets/img/robot-hand.jpg'
---
# Einführung in die 
### Religionswissenschaft
{: .r-fit-text}
### Vorstellung, Ziele, Was ist KI?
Wintersemester 2025/2026
Prof. Dr. Nathan Gibson
## 📈 Rückblick: Lernziel
objective
## 📈 Rückblick: 
## Projekt
## Einleitung
## Heutiges Lernziel
Arten von KI unterscheiden.
## Lektüre
## Diskussion
## Vorschau
KI aus ethischer Sicht</v>
      </c>
    </row>
    <row r="3" spans="1:23" ht="21" customHeight="1" x14ac:dyDescent="0.2">
      <c r="B3" s="3">
        <v>2</v>
      </c>
      <c r="C3" s="8">
        <v>45975</v>
      </c>
      <c r="D3" s="16" t="s">
        <v>25</v>
      </c>
      <c r="E3" s="4" t="str">
        <f t="shared" si="0"/>
        <v>2025-11-14-2.md</v>
      </c>
      <c r="F3" s="4" t="s">
        <v>28</v>
      </c>
      <c r="G3" s="4" t="s">
        <v>31</v>
      </c>
      <c r="H3" s="4" t="s">
        <v>42</v>
      </c>
      <c r="J3" t="str">
        <f t="shared" si="1"/>
        <v>2. Einleitung: KI aus ethischer Sicht</v>
      </c>
      <c r="K3" s="3">
        <f t="shared" si="2"/>
        <v>2</v>
      </c>
      <c r="L3" t="s">
        <v>47</v>
      </c>
      <c r="M3" t="str">
        <f t="shared" si="3"/>
        <v>2-Ethik</v>
      </c>
      <c r="N3" s="10"/>
      <c r="O3" s="17" t="s">
        <v>68</v>
      </c>
      <c r="Q3" t="str">
        <f t="shared" si="4"/>
        <v>[2]</v>
      </c>
      <c r="R3" s="14" t="str">
        <f t="shared" ref="R3:R13" si="7">"---
layout: post
" &amp; B$1 &amp; ": " &amp; B3 &amp; "
" &amp; Q$1 &amp; ": " &amp; Q3 &amp; "
level: overview
---"</f>
        <v>---
layout: post
session: 2
tags: [2]
level: overview
---</v>
      </c>
      <c r="S3" s="14" t="str">
        <f t="shared" ref="S3:S13" si="8">_xlfn.REGEXREPLACE(E3,"\.md","-slides.md")</f>
        <v>2025-11-14-2-slides.md</v>
      </c>
      <c r="T3" s="14" t="str">
        <f t="shared" si="6"/>
        <v xml:space="preserve">---
layout: reveal
title: 'KI aus ethischer Sicht'
author: 'Nathan Gibson'
session: 2
tags: [2,slides]
category: slides
image: robot-bench.jpg
parallaxBackgroundImage: 'assets/img/robot-bench.jpg'
---
</v>
      </c>
      <c r="U3" s="14" t="str">
        <f t="shared" ref="U3:U13" si="9">"# Einführung in die 
### Religionswissenschaft
{: .r-fit-text}
### "&amp;H3&amp;"
Wintersemester 2025/2026
Prof. Dr. Nathan Gibson
## 📈 Rückblick: Lernziel
"&amp;O2&amp;"
## 📈 Rückblick: 
## Projekt
## Einleitung
## Heutiges Lernziel
"&amp;O3</f>
        <v># Einführung in die 
### Religionswissenschaft
{: .r-fit-text}
### KI aus ethischer Sicht
Wintersemester 2025/2026
Prof. Dr. Nathan Gibson
## 📈 Rückblick: Lernziel
Arten von KI unterscheiden.
## 📈 Rückblick: 
## Projekt
## Einleitung
## Heutiges Lernziel
Die ethischen Aspekte eines KI-Einsatzes abwägen. </v>
      </c>
      <c r="V3" s="14" t="str">
        <f t="shared" ref="V3:V12" si="10">"
## Lektüre
## Diskussion
## Vorschau
"&amp;H4</f>
        <v xml:space="preserve">
## Lektüre
## Diskussion
## Vorschau
Was gibt es für Daten in der Religionswissenschaft?</v>
      </c>
      <c r="W3" s="14" t="str">
        <f t="shared" ref="W3:W12" si="11">_xlfn.CONCAT(T3:V3)</f>
        <v>---
layout: reveal
title: 'KI aus ethischer Sicht'
author: 'Nathan Gibson'
session: 2
tags: [2,slides]
category: slides
image: robot-bench.jpg
parallaxBackgroundImage: 'assets/img/robot-bench.jpg'
---
# Einführung in die 
### Religionswissenschaft
{: .r-fit-text}
### KI aus ethischer Sicht
Wintersemester 2025/2026
Prof. Dr. Nathan Gibson
## 📈 Rückblick: Lernziel
Arten von KI unterscheiden.
## 📈 Rückblick: 
## Projekt
## Einleitung
## Heutiges Lernziel
Die ethischen Aspekte eines KI-Einsatzes abwägen. 
## Lektüre
## Diskussion
## Vorschau
Was gibt es für Daten in der Religionswissenschaft?</v>
      </c>
    </row>
    <row r="4" spans="1:23" ht="21" customHeight="1" x14ac:dyDescent="0.2">
      <c r="B4" s="3">
        <v>3</v>
      </c>
      <c r="C4" s="8">
        <v>45976</v>
      </c>
      <c r="D4" s="16" t="s">
        <v>26</v>
      </c>
      <c r="E4" s="4" t="str">
        <f t="shared" si="0"/>
        <v>2025-11-15-3.md</v>
      </c>
      <c r="F4" s="4" t="s">
        <v>28</v>
      </c>
      <c r="G4" s="4" t="s">
        <v>32</v>
      </c>
      <c r="H4" s="4" t="s">
        <v>30</v>
      </c>
      <c r="J4" t="str">
        <f t="shared" si="1"/>
        <v>3. Einleitung: Was gibt es für Daten in der Religionswissenschaft?</v>
      </c>
      <c r="K4" s="3">
        <f t="shared" si="2"/>
        <v>3</v>
      </c>
      <c r="L4" t="s">
        <v>48</v>
      </c>
      <c r="M4" t="str">
        <f t="shared" si="3"/>
        <v>3-Religionswissenschaftliche-Daten</v>
      </c>
      <c r="N4" s="10"/>
      <c r="O4" s="17" t="s">
        <v>72</v>
      </c>
      <c r="Q4" t="str">
        <f t="shared" si="4"/>
        <v>[3]</v>
      </c>
      <c r="R4" s="14" t="str">
        <f t="shared" si="7"/>
        <v>---
layout: post
session: 3
tags: [3]
level: overview
---</v>
      </c>
      <c r="S4" s="14" t="str">
        <f t="shared" si="8"/>
        <v>2025-11-15-3-slides.md</v>
      </c>
      <c r="T4" s="14" t="str">
        <f t="shared" si="6"/>
        <v xml:space="preserve">---
layout: reveal
title: 'Was gibt es für Daten in der Religionswissenschaft?'
author: 'Nathan Gibson'
session: 3
tags: [3,slides]
category: slides
image: ai-tablets.jpg
parallaxBackgroundImage: 'assets/img/ai-tablets.jpg'
---
</v>
      </c>
      <c r="U4" s="14" t="str">
        <f t="shared" si="9"/>
        <v># Einführung in die 
### Religionswissenschaft
{: .r-fit-text}
### Was gibt es für Daten in der Religionswissenschaft?
Wintersemester 2025/2026
Prof. Dr. Nathan Gibson
## 📈 Rückblick: Lernziel
Die ethischen Aspekte eines KI-Einsatzes abwägen. 
## 📈 Rückblick: 
## Projekt
## Einleitung
## Heutiges Lernziel
Das breite Spektrum religionswissenschaftlicher Daten erfassen.</v>
      </c>
      <c r="V4" s="14" t="str">
        <f t="shared" si="10"/>
        <v xml:space="preserve">
## Lektüre
## Diskussion
## Vorschau
Übungen mit Text- und Spracherkennung</v>
      </c>
      <c r="W4" s="14" t="str">
        <f t="shared" si="11"/>
        <v>---
layout: reveal
title: 'Was gibt es für Daten in der Religionswissenschaft?'
author: 'Nathan Gibson'
session: 3
tags: [3,slides]
category: slides
image: ai-tablets.jpg
parallaxBackgroundImage: 'assets/img/ai-tablets.jpg'
---
# Einführung in die 
### Religionswissenschaft
{: .r-fit-text}
### Was gibt es für Daten in der Religionswissenschaft?
Wintersemester 2025/2026
Prof. Dr. Nathan Gibson
## 📈 Rückblick: Lernziel
Die ethischen Aspekte eines KI-Einsatzes abwägen. 
## 📈 Rückblick: 
## Projekt
## Einleitung
## Heutiges Lernziel
Das breite Spektrum religionswissenschaftlicher Daten erfassen.
## Lektüre
## Diskussion
## Vorschau
Übungen mit Text- und Spracherkennung</v>
      </c>
    </row>
    <row r="5" spans="1:23" ht="21" customHeight="1" x14ac:dyDescent="0.2">
      <c r="B5" s="3">
        <v>4</v>
      </c>
      <c r="C5" s="8">
        <v>45976</v>
      </c>
      <c r="D5" s="16" t="s">
        <v>27</v>
      </c>
      <c r="E5" s="4" t="str">
        <f t="shared" si="0"/>
        <v>2025-11-15-4.md</v>
      </c>
      <c r="F5" s="4" t="s">
        <v>58</v>
      </c>
      <c r="G5" s="4" t="s">
        <v>43</v>
      </c>
      <c r="H5" s="4" t="s">
        <v>45</v>
      </c>
      <c r="J5" t="str">
        <f t="shared" si="1"/>
        <v>4. Maschinelles Lernen: Übungen mit Text- und Spracherkennung</v>
      </c>
      <c r="K5" s="3">
        <f t="shared" si="2"/>
        <v>4</v>
      </c>
      <c r="L5" t="s">
        <v>49</v>
      </c>
      <c r="M5" t="str">
        <f t="shared" si="3"/>
        <v>4-Übung-Text-und-Spracherkennung</v>
      </c>
      <c r="N5" s="11"/>
      <c r="O5" s="17" t="s">
        <v>69</v>
      </c>
      <c r="Q5" t="str">
        <f t="shared" si="4"/>
        <v>[4]</v>
      </c>
      <c r="R5" s="14" t="str">
        <f t="shared" si="7"/>
        <v>---
layout: post
session: 4
tags: [4]
level: overview
---</v>
      </c>
      <c r="S5" s="14" t="str">
        <f t="shared" si="8"/>
        <v>2025-11-15-4-slides.md</v>
      </c>
      <c r="T5" s="14" t="str">
        <f t="shared" si="6"/>
        <v xml:space="preserve">---
layout: reveal
title: 'Übungen mit Text- und Spracherkennung'
author: 'Nathan Gibson'
session: 4
tags: [4,slides]
category: slides
image: ox-bodl-laud-or-258-fol-10b.jpg
parallaxBackgroundImage: 'assets/img/ox-bodl-laud-or-258-fol-10b.jpg'
---
</v>
      </c>
      <c r="U5" s="14" t="str">
        <f t="shared" si="9"/>
        <v># Einführung in die 
### Religionswissenschaft
{: .r-fit-text}
### Übungen mit Text- und Spracherkennung
Wintersemester 2025/2026
Prof. Dr. Nathan Gibson
## 📈 Rückblick: Lernziel
Das breite Spektrum religionswissenschaftlicher Daten erfassen.
## 📈 Rückblick: 
## Projekt
## Einleitung
## Heutiges Lernziel
Erfahrungen mit maschinellem Lernen sammeln.</v>
      </c>
      <c r="V5" s="14" t="str">
        <f t="shared" si="10"/>
        <v xml:space="preserve">
## Lektüre
## Diskussion
## Vorschau
Was sind LLMs?</v>
      </c>
      <c r="W5" s="14" t="str">
        <f t="shared" si="11"/>
        <v>---
layout: reveal
title: 'Übungen mit Text- und Spracherkennung'
author: 'Nathan Gibson'
session: 4
tags: [4,slides]
category: slides
image: ox-bodl-laud-or-258-fol-10b.jpg
parallaxBackgroundImage: 'assets/img/ox-bodl-laud-or-258-fol-10b.jpg'
---
# Einführung in die 
### Religionswissenschaft
{: .r-fit-text}
### Übungen mit Text- und Spracherkennung
Wintersemester 2025/2026
Prof. Dr. Nathan Gibson
## 📈 Rückblick: Lernziel
Das breite Spektrum religionswissenschaftlicher Daten erfassen.
## 📈 Rückblick: 
## Projekt
## Einleitung
## Heutiges Lernziel
Erfahrungen mit maschinellem Lernen sammeln.
## Lektüre
## Diskussion
## Vorschau
Was sind LLMs?</v>
      </c>
    </row>
    <row r="6" spans="1:23" ht="21" customHeight="1" x14ac:dyDescent="0.2">
      <c r="B6" s="3">
        <v>5</v>
      </c>
      <c r="C6" s="8">
        <v>45976</v>
      </c>
      <c r="D6" s="16" t="s">
        <v>24</v>
      </c>
      <c r="E6" s="4" t="str">
        <f t="shared" si="0"/>
        <v>2025-11-15-5.md</v>
      </c>
      <c r="F6" s="4" t="s">
        <v>58</v>
      </c>
      <c r="G6" s="4" t="s">
        <v>33</v>
      </c>
      <c r="H6" t="s">
        <v>34</v>
      </c>
      <c r="J6" t="str">
        <f t="shared" si="1"/>
        <v>5. Maschinelles Lernen: Was sind LLMs?</v>
      </c>
      <c r="K6" s="3">
        <f t="shared" si="2"/>
        <v>5</v>
      </c>
      <c r="L6" t="s">
        <v>52</v>
      </c>
      <c r="M6" t="str">
        <f t="shared" si="3"/>
        <v>5-LLMs</v>
      </c>
      <c r="N6" s="15"/>
      <c r="O6" s="17" t="s">
        <v>78</v>
      </c>
      <c r="Q6" t="str">
        <f t="shared" si="4"/>
        <v>[5]</v>
      </c>
      <c r="R6" s="14" t="str">
        <f t="shared" si="7"/>
        <v>---
layout: post
session: 5
tags: [5]
level: overview
---</v>
      </c>
      <c r="S6" s="14" t="str">
        <f t="shared" si="8"/>
        <v>2025-11-15-5-slides.md</v>
      </c>
      <c r="T6" s="14" t="str">
        <f t="shared" si="6"/>
        <v xml:space="preserve">---
layout: reveal
title: 'Was sind LLMs?'
author: 'Nathan Gibson'
session: 5
tags: [5,slides]
category: slides
image: gemini-scrabble.jpg
parallaxBackgroundImage: 'assets/img/gemini-scrabble.jpg'
---
</v>
      </c>
      <c r="U6" s="14" t="str">
        <f t="shared" si="9"/>
        <v># Einführung in die 
### Religionswissenschaft
{: .r-fit-text}
### Was sind LLMs?
Wintersemester 2025/2026
Prof. Dr. Nathan Gibson
## 📈 Rückblick: Lernziel
Erfahrungen mit maschinellem Lernen sammeln.
## 📈 Rückblick: 
## Projekt
## Einleitung
## Heutiges Lernziel
Die Grundcharakteristika von Large Language Models skizzieren.</v>
      </c>
      <c r="V6" s="14" t="str">
        <f t="shared" si="10"/>
        <v xml:space="preserve">
## Lektüre
## Diskussion
## Vorschau
Übungen mit LLMs</v>
      </c>
      <c r="W6" s="14" t="str">
        <f t="shared" si="11"/>
        <v>---
layout: reveal
title: 'Was sind LLMs?'
author: 'Nathan Gibson'
session: 5
tags: [5,slides]
category: slides
image: gemini-scrabble.jpg
parallaxBackgroundImage: 'assets/img/gemini-scrabble.jpg'
---
# Einführung in die 
### Religionswissenschaft
{: .r-fit-text}
### Was sind LLMs?
Wintersemester 2025/2026
Prof. Dr. Nathan Gibson
## 📈 Rückblick: Lernziel
Erfahrungen mit maschinellem Lernen sammeln.
## 📈 Rückblick: 
## Projekt
## Einleitung
## Heutiges Lernziel
Die Grundcharakteristika von Large Language Models skizzieren.
## Lektüre
## Diskussion
## Vorschau
Übungen mit LLMs</v>
      </c>
    </row>
    <row r="7" spans="1:23" ht="21" customHeight="1" x14ac:dyDescent="0.2">
      <c r="B7" s="3">
        <v>6</v>
      </c>
      <c r="C7" s="8">
        <v>45976</v>
      </c>
      <c r="D7" s="16" t="s">
        <v>25</v>
      </c>
      <c r="E7" s="4" t="str">
        <f t="shared" si="0"/>
        <v>2025-11-15-6.md</v>
      </c>
      <c r="F7" s="4" t="s">
        <v>58</v>
      </c>
      <c r="G7" s="4" t="s">
        <v>35</v>
      </c>
      <c r="H7" s="4" t="s">
        <v>44</v>
      </c>
      <c r="J7" t="str">
        <f t="shared" si="1"/>
        <v>6. Maschinelles Lernen: Übungen mit LLMs</v>
      </c>
      <c r="K7" s="3">
        <f t="shared" si="2"/>
        <v>6</v>
      </c>
      <c r="L7" t="s">
        <v>54</v>
      </c>
      <c r="M7" t="str">
        <f t="shared" si="3"/>
        <v>6-Übung-LLMs</v>
      </c>
      <c r="N7" s="9"/>
      <c r="O7" s="17" t="s">
        <v>70</v>
      </c>
      <c r="Q7" t="str">
        <f t="shared" si="4"/>
        <v>[6]</v>
      </c>
      <c r="R7" s="14" t="str">
        <f t="shared" si="7"/>
        <v>---
layout: post
session: 6
tags: [6]
level: overview
---</v>
      </c>
      <c r="S7" s="14" t="str">
        <f t="shared" si="8"/>
        <v>2025-11-15-6-slides.md</v>
      </c>
      <c r="T7" s="14" t="str">
        <f t="shared" si="6"/>
        <v xml:space="preserve">---
layout: reveal
title: 'Übungen mit LLMs'
author: 'Nathan Gibson'
session: 6
tags: [6,slides]
category: slides
image: laptop-code.jpg
parallaxBackgroundImage: 'assets/img/laptop-code.jpg'
---
</v>
      </c>
      <c r="U7" s="14" t="str">
        <f t="shared" si="9"/>
        <v># Einführung in die 
### Religionswissenschaft
{: .r-fit-text}
### Übungen mit LLMs
Wintersemester 2025/2026
Prof. Dr. Nathan Gibson
## 📈 Rückblick: Lernziel
Die Grundcharakteristika von Large Language Models skizzieren.
## 📈 Rückblick: 
## Projekt
## Einleitung
## Heutiges Lernziel
Erfahrungen mit LLMs sammeln.</v>
      </c>
      <c r="V7" s="14" t="str">
        <f t="shared" si="10"/>
        <v xml:space="preserve">
## Lektüre
## Diskussion
## Vorschau
Wie sollen unterschiedliche Datentypen und -strukturen berücksichtigt werden?</v>
      </c>
      <c r="W7" s="14" t="str">
        <f t="shared" si="11"/>
        <v>---
layout: reveal
title: 'Übungen mit LLMs'
author: 'Nathan Gibson'
session: 6
tags: [6,slides]
category: slides
image: laptop-code.jpg
parallaxBackgroundImage: 'assets/img/laptop-code.jpg'
---
# Einführung in die 
### Religionswissenschaft
{: .r-fit-text}
### Übungen mit LLMs
Wintersemester 2025/2026
Prof. Dr. Nathan Gibson
## 📈 Rückblick: Lernziel
Die Grundcharakteristika von Large Language Models skizzieren.
## 📈 Rückblick: 
## Projekt
## Einleitung
## Heutiges Lernziel
Erfahrungen mit LLMs sammeln.
## Lektüre
## Diskussion
## Vorschau
Wie sollen unterschiedliche Datentypen und -strukturen berücksichtigt werden?</v>
      </c>
    </row>
    <row r="8" spans="1:23" ht="21" customHeight="1" x14ac:dyDescent="0.2">
      <c r="B8" s="3">
        <v>7</v>
      </c>
      <c r="C8" s="8">
        <v>45996</v>
      </c>
      <c r="D8" s="16" t="s">
        <v>24</v>
      </c>
      <c r="E8" s="4" t="str">
        <f t="shared" si="0"/>
        <v>2025-12-05-7.md</v>
      </c>
      <c r="F8" s="4" t="s">
        <v>36</v>
      </c>
      <c r="G8" s="4" t="s">
        <v>38</v>
      </c>
      <c r="H8" t="s">
        <v>39</v>
      </c>
      <c r="J8" t="str">
        <f t="shared" si="1"/>
        <v>7. Daten: Wie sollen unterschiedliche Datentypen und -strukturen berücksichtigt werden?</v>
      </c>
      <c r="K8" s="3">
        <f t="shared" si="2"/>
        <v>7</v>
      </c>
      <c r="L8" t="s">
        <v>56</v>
      </c>
      <c r="M8" t="str">
        <f t="shared" si="3"/>
        <v>7-Datentypen</v>
      </c>
      <c r="N8" s="12"/>
      <c r="O8" s="17" t="s">
        <v>71</v>
      </c>
      <c r="Q8" t="str">
        <f t="shared" si="4"/>
        <v>[7]</v>
      </c>
      <c r="R8" s="14" t="str">
        <f t="shared" si="7"/>
        <v>---
layout: post
session: 7
tags: [7]
level: overview
---</v>
      </c>
      <c r="S8" s="14" t="str">
        <f t="shared" si="8"/>
        <v>2025-12-05-7-slides.md</v>
      </c>
      <c r="T8" s="14" t="str">
        <f t="shared" si="6"/>
        <v xml:space="preserve">---
layout: reveal
title: 'Wie sollen unterschiedliche Datentypen und -strukturen berücksichtigt werden?'
author: 'Nathan Gibson'
session: 7
tags: [7,slides]
category: slides
image: stickies.jpg
parallaxBackgroundImage: 'assets/img/stickies.jpg'
---
</v>
      </c>
      <c r="U8" s="14" t="str">
        <f t="shared" si="9"/>
        <v># Einführung in die 
### Religionswissenschaft
{: .r-fit-text}
### Wie sollen unterschiedliche Datentypen und -strukturen berücksichtigt werden?
Wintersemester 2025/2026
Prof. Dr. Nathan Gibson
## 📈 Rückblick: Lernziel
Erfahrungen mit LLMs sammeln.
## 📈 Rückblick: 
## Projekt
## Einleitung
## Heutiges Lernziel
Datentypen und Datenstrukturen grundlegend verstehen.</v>
      </c>
      <c r="V8" s="14" t="str">
        <f t="shared" si="10"/>
        <v xml:space="preserve">
## Lektüre
## Diskussion
## Vorschau
Wie können gängige Systeme für religionswissenschaftliche Daten fein abgestimmt werden?</v>
      </c>
      <c r="W8" s="14" t="str">
        <f t="shared" si="11"/>
        <v>---
layout: reveal
title: 'Wie sollen unterschiedliche Datentypen und -strukturen berücksichtigt werden?'
author: 'Nathan Gibson'
session: 7
tags: [7,slides]
category: slides
image: stickies.jpg
parallaxBackgroundImage: 'assets/img/stickies.jpg'
---
# Einführung in die 
### Religionswissenschaft
{: .r-fit-text}
### Wie sollen unterschiedliche Datentypen und -strukturen berücksichtigt werden?
Wintersemester 2025/2026
Prof. Dr. Nathan Gibson
## 📈 Rückblick: Lernziel
Erfahrungen mit LLMs sammeln.
## 📈 Rückblick: 
## Projekt
## Einleitung
## Heutiges Lernziel
Datentypen und Datenstrukturen grundlegend verstehen.
## Lektüre
## Diskussion
## Vorschau
Wie können gängige Systeme für religionswissenschaftliche Daten fein abgestimmt werden?</v>
      </c>
    </row>
    <row r="9" spans="1:23" ht="21" customHeight="1" x14ac:dyDescent="0.2">
      <c r="B9" s="3">
        <v>8</v>
      </c>
      <c r="C9" s="8">
        <v>45996</v>
      </c>
      <c r="D9" s="16" t="s">
        <v>25</v>
      </c>
      <c r="E9" s="4" t="str">
        <f t="shared" si="0"/>
        <v>2025-12-05-8.md</v>
      </c>
      <c r="F9" s="4" t="s">
        <v>36</v>
      </c>
      <c r="G9" s="4" t="s">
        <v>40</v>
      </c>
      <c r="H9" t="s">
        <v>41</v>
      </c>
      <c r="J9" t="str">
        <f t="shared" si="1"/>
        <v>8. Daten: Wie können gängige Systeme für religionswissenschaftliche Daten fein abgestimmt werden?</v>
      </c>
      <c r="K9" s="3">
        <f t="shared" si="2"/>
        <v>8</v>
      </c>
      <c r="L9" t="s">
        <v>57</v>
      </c>
      <c r="M9" t="str">
        <f t="shared" si="3"/>
        <v>8-Feinabstimmung</v>
      </c>
      <c r="N9" s="9"/>
      <c r="O9" s="17" t="s">
        <v>73</v>
      </c>
      <c r="Q9" t="str">
        <f t="shared" si="4"/>
        <v>[8]</v>
      </c>
      <c r="R9" s="14" t="str">
        <f t="shared" si="7"/>
        <v>---
layout: post
session: 8
tags: [8]
level: overview
---</v>
      </c>
      <c r="S9" s="14" t="str">
        <f t="shared" si="8"/>
        <v>2025-12-05-8-slides.md</v>
      </c>
      <c r="T9" s="14" t="str">
        <f t="shared" si="6"/>
        <v xml:space="preserve">---
layout: reveal
title: 'Wie können gängige Systeme für religionswissenschaftliche Daten fein abgestimmt werden?'
author: 'Nathan Gibson'
session: 8
tags: [8,slides]
category: slides
image: sound-board.jpg
parallaxBackgroundImage: 'assets/img/sound-board.jpg'
---
</v>
      </c>
      <c r="U9" s="14" t="str">
        <f t="shared" si="9"/>
        <v># Einführung in die 
### Religionswissenschaft
{: .r-fit-text}
### Wie können gängige Systeme für religionswissenschaftliche Daten fein abgestimmt werden?
Wintersemester 2025/2026
Prof. Dr. Nathan Gibson
## 📈 Rückblick: Lernziel
Datentypen und Datenstrukturen grundlegend verstehen.
## 📈 Rückblick: 
## Projekt
## Einleitung
## Heutiges Lernziel
Die Prozesse der Anpassung und der Feinabstimmung von Modellen erfassen.</v>
      </c>
      <c r="V9" s="14" t="str">
        <f t="shared" si="10"/>
        <v xml:space="preserve">
## Lektüre
## Diskussion
## Vorschau
Begriffe: Wie können LLMs für das Programmieren von Datenreinigung bzw. Datenanalyse eingesetzt werden?</v>
      </c>
      <c r="W9" s="14" t="str">
        <f t="shared" si="11"/>
        <v>---
layout: reveal
title: 'Wie können gängige Systeme für religionswissenschaftliche Daten fein abgestimmt werden?'
author: 'Nathan Gibson'
session: 8
tags: [8,slides]
category: slides
image: sound-board.jpg
parallaxBackgroundImage: 'assets/img/sound-board.jpg'
---
# Einführung in die 
### Religionswissenschaft
{: .r-fit-text}
### Wie können gängige Systeme für religionswissenschaftliche Daten fein abgestimmt werden?
Wintersemester 2025/2026
Prof. Dr. Nathan Gibson
## 📈 Rückblick: Lernziel
Datentypen und Datenstrukturen grundlegend verstehen.
## 📈 Rückblick: 
## Projekt
## Einleitung
## Heutiges Lernziel
Die Prozesse der Anpassung und der Feinabstimmung von Modellen erfassen.
## Lektüre
## Diskussion
## Vorschau
Begriffe: Wie können LLMs für das Programmieren von Datenreinigung bzw. Datenanalyse eingesetzt werden?</v>
      </c>
    </row>
    <row r="10" spans="1:23" ht="21" customHeight="1" x14ac:dyDescent="0.2">
      <c r="B10" s="3">
        <v>9</v>
      </c>
      <c r="C10" s="8">
        <v>45997</v>
      </c>
      <c r="D10" s="16" t="s">
        <v>26</v>
      </c>
      <c r="E10" s="4" t="str">
        <f t="shared" si="0"/>
        <v>2025-12-06-9.md</v>
      </c>
      <c r="F10" s="4" t="s">
        <v>37</v>
      </c>
      <c r="G10" s="4" t="s">
        <v>59</v>
      </c>
      <c r="H10" t="s">
        <v>60</v>
      </c>
      <c r="J10" t="str">
        <f t="shared" si="1"/>
        <v>9. Programmieren: Begriffe: Wie können LLMs für das Programmieren von Datenreinigung bzw. Datenanalyse eingesetzt werden?</v>
      </c>
      <c r="K10" s="3">
        <f t="shared" si="2"/>
        <v>9</v>
      </c>
      <c r="L10" t="s">
        <v>53</v>
      </c>
      <c r="M10" t="str">
        <f t="shared" si="3"/>
        <v>9-Begriffe-Datenreinigung-und-analyse-I</v>
      </c>
      <c r="N10" s="9"/>
      <c r="O10" s="17" t="s">
        <v>74</v>
      </c>
      <c r="Q10" t="str">
        <f t="shared" si="4"/>
        <v>[9]</v>
      </c>
      <c r="R10" s="14" t="str">
        <f t="shared" si="7"/>
        <v>---
layout: post
session: 9
tags: [9]
level: overview
---</v>
      </c>
      <c r="S10" s="14" t="str">
        <f t="shared" si="8"/>
        <v>2025-12-06-9-slides.md</v>
      </c>
      <c r="T10" s="14" t="str">
        <f t="shared" si="6"/>
        <v xml:space="preserve">---
layout: reveal
title: 'Begriffe: Wie können LLMs für das Programmieren von Datenreinigung bzw. Datenanalyse eingesetzt werden?'
author: 'Nathan Gibson'
session: 9
tags: [9,slides]
category: slides
image: code-memo.jpg
parallaxBackgroundImage: 'assets/img/code-memo.jpg'
---
</v>
      </c>
      <c r="U10" s="14" t="str">
        <f t="shared" si="9"/>
        <v># Einführung in die 
### Religionswissenschaft
{: .r-fit-text}
### Begriffe: Wie können LLMs für das Programmieren von Datenreinigung bzw. Datenanalyse eingesetzt werden?
Wintersemester 2025/2026
Prof. Dr. Nathan Gibson
## 📈 Rückblick: Lernziel
Die Prozesse der Anpassung und der Feinabstimmung von Modellen erfassen.
## 📈 Rückblick: 
## Projekt
## Einleitung
## Heutiges Lernziel
Best Practices des Programmierens mit LLMs bezüglich Datenreinigung und Datenanalyse erfassen.</v>
      </c>
      <c r="V10" s="14" t="str">
        <f t="shared" si="10"/>
        <v xml:space="preserve">
## Lektüre
## Diskussion
## Vorschau
Übungen: Wie können LLMs für das Programmieren von Datenreinigung bzw. Datenanalyse eingesetzt werden?</v>
      </c>
      <c r="W10" s="14" t="str">
        <f t="shared" si="11"/>
        <v>---
layout: reveal
title: 'Begriffe: Wie können LLMs für das Programmieren von Datenreinigung bzw. Datenanalyse eingesetzt werden?'
author: 'Nathan Gibson'
session: 9
tags: [9,slides]
category: slides
image: code-memo.jpg
parallaxBackgroundImage: 'assets/img/code-memo.jpg'
---
# Einführung in die 
### Religionswissenschaft
{: .r-fit-text}
### Begriffe: Wie können LLMs für das Programmieren von Datenreinigung bzw. Datenanalyse eingesetzt werden?
Wintersemester 2025/2026
Prof. Dr. Nathan Gibson
## 📈 Rückblick: Lernziel
Die Prozesse der Anpassung und der Feinabstimmung von Modellen erfassen.
## 📈 Rückblick: 
## Projekt
## Einleitung
## Heutiges Lernziel
Best Practices des Programmierens mit LLMs bezüglich Datenreinigung und Datenanalyse erfassen.
## Lektüre
## Diskussion
## Vorschau
Übungen: Wie können LLMs für das Programmieren von Datenreinigung bzw. Datenanalyse eingesetzt werden?</v>
      </c>
    </row>
    <row r="11" spans="1:23" ht="21" customHeight="1" x14ac:dyDescent="0.2">
      <c r="B11" s="3">
        <v>10</v>
      </c>
      <c r="C11" s="8">
        <v>45997</v>
      </c>
      <c r="D11" s="16" t="s">
        <v>27</v>
      </c>
      <c r="E11" s="4" t="str">
        <f t="shared" si="0"/>
        <v>2025-12-06-10.md</v>
      </c>
      <c r="F11" s="4" t="s">
        <v>37</v>
      </c>
      <c r="G11" s="4" t="s">
        <v>61</v>
      </c>
      <c r="H11" t="s">
        <v>64</v>
      </c>
      <c r="J11" t="str">
        <f t="shared" si="1"/>
        <v>10. Programmieren: Übungen: Wie können LLMs für das Programmieren von Datenreinigung bzw. Datenanalyse eingesetzt werden?</v>
      </c>
      <c r="K11" s="3">
        <f t="shared" si="2"/>
        <v>10</v>
      </c>
      <c r="L11" t="s">
        <v>50</v>
      </c>
      <c r="M11" t="str">
        <f t="shared" si="3"/>
        <v>10-Übungen-Datenreinigung-und-analyse-II</v>
      </c>
      <c r="N11" s="9"/>
      <c r="O11" s="17" t="s">
        <v>75</v>
      </c>
      <c r="Q11" t="str">
        <f t="shared" si="4"/>
        <v>[10]</v>
      </c>
      <c r="R11" s="14" t="str">
        <f t="shared" si="7"/>
        <v>---
layout: post
session: 10
tags: [10]
level: overview
---</v>
      </c>
      <c r="S11" s="14" t="str">
        <f t="shared" si="8"/>
        <v>2025-12-06-10-slides.md</v>
      </c>
      <c r="T11" s="14" t="str">
        <f t="shared" si="6"/>
        <v xml:space="preserve">---
layout: reveal
title: 'Übungen: Wie können LLMs für das Programmieren von Datenreinigung bzw. Datenanalyse eingesetzt werden?'
author: 'Nathan Gibson'
session: 10
tags: [10,slides]
category: slides
image: ai-keyboard.jpg
parallaxBackgroundImage: 'assets/img/ai-keyboard.jpg'
---
</v>
      </c>
      <c r="U11" s="14" t="str">
        <f t="shared" si="9"/>
        <v># Einführung in die 
### Religionswissenschaft
{: .r-fit-text}
### Übungen: Wie können LLMs für das Programmieren von Datenreinigung bzw. Datenanalyse eingesetzt werden?
Wintersemester 2025/2026
Prof. Dr. Nathan Gibson
## 📈 Rückblick: Lernziel
Best Practices des Programmierens mit LLMs bezüglich Datenreinigung und Datenanalyse erfassen.
## 📈 Rückblick: 
## Projekt
## Einleitung
## Heutiges Lernziel
Erfahrungen mit Datenreinigung und Datenanalyse sammeln.</v>
      </c>
      <c r="V11" s="14" t="str">
        <f t="shared" si="10"/>
        <v xml:space="preserve">
## Lektüre
## Diskussion
## Vorschau
Begriffe: Wie können LLMs für das Programmieren von Datenvisualisierung eingesetzt werden?</v>
      </c>
      <c r="W11" s="14" t="str">
        <f t="shared" si="11"/>
        <v>---
layout: reveal
title: 'Übungen: Wie können LLMs für das Programmieren von Datenreinigung bzw. Datenanalyse eingesetzt werden?'
author: 'Nathan Gibson'
session: 10
tags: [10,slides]
category: slides
image: ai-keyboard.jpg
parallaxBackgroundImage: 'assets/img/ai-keyboard.jpg'
---
# Einführung in die 
### Religionswissenschaft
{: .r-fit-text}
### Übungen: Wie können LLMs für das Programmieren von Datenreinigung bzw. Datenanalyse eingesetzt werden?
Wintersemester 2025/2026
Prof. Dr. Nathan Gibson
## 📈 Rückblick: Lernziel
Best Practices des Programmierens mit LLMs bezüglich Datenreinigung und Datenanalyse erfassen.
## 📈 Rückblick: 
## Projekt
## Einleitung
## Heutiges Lernziel
Erfahrungen mit Datenreinigung und Datenanalyse sammeln.
## Lektüre
## Diskussion
## Vorschau
Begriffe: Wie können LLMs für das Programmieren von Datenvisualisierung eingesetzt werden?</v>
      </c>
    </row>
    <row r="12" spans="1:23" ht="21" customHeight="1" x14ac:dyDescent="0.2">
      <c r="B12" s="3">
        <v>11</v>
      </c>
      <c r="C12" s="8">
        <v>45997</v>
      </c>
      <c r="D12" s="16" t="s">
        <v>24</v>
      </c>
      <c r="E12" s="4" t="str">
        <f t="shared" si="0"/>
        <v>2025-12-06-11.md</v>
      </c>
      <c r="F12" s="4" t="s">
        <v>37</v>
      </c>
      <c r="G12" s="4" t="s">
        <v>62</v>
      </c>
      <c r="H12" t="s">
        <v>65</v>
      </c>
      <c r="J12" t="str">
        <f t="shared" si="1"/>
        <v>11. Programmieren: Begriffe: Wie können LLMs für das Programmieren von Datenvisualisierung eingesetzt werden?</v>
      </c>
      <c r="K12" s="3">
        <f t="shared" si="2"/>
        <v>11</v>
      </c>
      <c r="L12" t="s">
        <v>55</v>
      </c>
      <c r="M12" t="str">
        <f t="shared" si="3"/>
        <v>11-Begriffe-Datenvisualisierung-I</v>
      </c>
      <c r="N12" s="9"/>
      <c r="O12" s="17" t="s">
        <v>76</v>
      </c>
      <c r="Q12" t="str">
        <f t="shared" si="4"/>
        <v>[11]</v>
      </c>
      <c r="R12" s="14" t="str">
        <f t="shared" si="7"/>
        <v>---
layout: post
session: 11
tags: [11]
level: overview
---</v>
      </c>
      <c r="S12" s="14" t="str">
        <f t="shared" si="8"/>
        <v>2025-12-06-11-slides.md</v>
      </c>
      <c r="T12" s="14" t="str">
        <f t="shared" si="6"/>
        <v xml:space="preserve">---
layout: reveal
title: 'Begriffe: Wie können LLMs für das Programmieren von Datenvisualisierung eingesetzt werden?'
author: 'Nathan Gibson'
session: 11
tags: [11,slides]
category: slides
image: data-visualization.jpg
parallaxBackgroundImage: 'assets/img/data-visualization.jpg'
---
</v>
      </c>
      <c r="U12" s="14" t="str">
        <f t="shared" si="9"/>
        <v># Einführung in die 
### Religionswissenschaft
{: .r-fit-text}
### Begriffe: Wie können LLMs für das Programmieren von Datenvisualisierung eingesetzt werden?
Wintersemester 2025/2026
Prof. Dr. Nathan Gibson
## 📈 Rückblick: Lernziel
Erfahrungen mit Datenreinigung und Datenanalyse sammeln.
## 📈 Rückblick: 
## Projekt
## Einleitung
## Heutiges Lernziel
Best Practices des Programmierens mit LLMs bezüglich Datenvisualisierung erfassen.</v>
      </c>
      <c r="V12" s="14" t="str">
        <f t="shared" si="10"/>
        <v xml:space="preserve">
## Lektüre
## Diskussion
## Vorschau
Übungen: Wie können LLMs für das Programmieren von Datenvisualisierung eingesetzt werden?</v>
      </c>
      <c r="W12" s="14" t="str">
        <f t="shared" si="11"/>
        <v>---
layout: reveal
title: 'Begriffe: Wie können LLMs für das Programmieren von Datenvisualisierung eingesetzt werden?'
author: 'Nathan Gibson'
session: 11
tags: [11,slides]
category: slides
image: data-visualization.jpg
parallaxBackgroundImage: 'assets/img/data-visualization.jpg'
---
# Einführung in die 
### Religionswissenschaft
{: .r-fit-text}
### Begriffe: Wie können LLMs für das Programmieren von Datenvisualisierung eingesetzt werden?
Wintersemester 2025/2026
Prof. Dr. Nathan Gibson
## 📈 Rückblick: Lernziel
Erfahrungen mit Datenreinigung und Datenanalyse sammeln.
## 📈 Rückblick: 
## Projekt
## Einleitung
## Heutiges Lernziel
Best Practices des Programmierens mit LLMs bezüglich Datenvisualisierung erfassen.
## Lektüre
## Diskussion
## Vorschau
Übungen: Wie können LLMs für das Programmieren von Datenvisualisierung eingesetzt werden?</v>
      </c>
    </row>
    <row r="13" spans="1:23" ht="21" customHeight="1" x14ac:dyDescent="0.2">
      <c r="B13" s="3">
        <v>12</v>
      </c>
      <c r="C13" s="8">
        <v>45997</v>
      </c>
      <c r="D13" s="16" t="s">
        <v>25</v>
      </c>
      <c r="E13" s="4" t="str">
        <f t="shared" si="0"/>
        <v>2025-12-06-12.md</v>
      </c>
      <c r="F13" s="4" t="s">
        <v>37</v>
      </c>
      <c r="G13" s="4" t="s">
        <v>63</v>
      </c>
      <c r="H13" t="s">
        <v>66</v>
      </c>
      <c r="J13" t="str">
        <f t="shared" si="1"/>
        <v>12. Programmieren: Übungen: Wie können LLMs für das Programmieren von Datenvisualisierung eingesetzt werden?</v>
      </c>
      <c r="K13" s="3">
        <f t="shared" si="2"/>
        <v>12</v>
      </c>
      <c r="L13" t="s">
        <v>51</v>
      </c>
      <c r="M13" t="str">
        <f t="shared" si="3"/>
        <v>12-Übungen-Datenvisualisierung-II</v>
      </c>
      <c r="N13" s="9"/>
      <c r="O13" s="17" t="s">
        <v>77</v>
      </c>
      <c r="Q13" t="str">
        <f t="shared" si="4"/>
        <v>[12]</v>
      </c>
      <c r="R13" s="14" t="str">
        <f t="shared" si="7"/>
        <v>---
layout: post
session: 12
tags: [12]
level: overview
---</v>
      </c>
      <c r="S13" s="14" t="str">
        <f t="shared" si="8"/>
        <v>2025-12-06-12-slides.md</v>
      </c>
      <c r="T13" s="14" t="str">
        <f t="shared" si="6"/>
        <v xml:space="preserve">---
layout: reveal
title: 'Übungen: Wie können LLMs für das Programmieren von Datenvisualisierung eingesetzt werden?'
author: 'Nathan Gibson'
session: 12
tags: [12,slides]
category: slides
image: ai-chip.jpg
parallaxBackgroundImage: 'assets/img/ai-chip.jpg'
---
</v>
      </c>
      <c r="U13" s="14" t="str">
        <f t="shared" si="9"/>
        <v># Einführung in die 
### Religionswissenschaft
{: .r-fit-text}
### Übungen: Wie können LLMs für das Programmieren von Datenvisualisierung eingesetzt werden?
Wintersemester 2025/2026
Prof. Dr. Nathan Gibson
## 📈 Rückblick: Lernziel
Best Practices des Programmierens mit LLMs bezüglich Datenvisualisierung erfassen.
## 📈 Rückblick: 
## Projekt
## Einleitung
## Heutiges Lernziel
Erfahrungen mit Datenvisualisierung sammeln.</v>
      </c>
      <c r="V13" s="14" t="str">
        <f t="shared" ref="V13" si="12">"
## Lektüre
## Diskussion
## Vorschau
"&amp;H14</f>
        <v xml:space="preserve">
## Lektüre
## Diskussion
## Vorschau
</v>
      </c>
      <c r="W13" s="14" t="str">
        <f t="shared" ref="W13" si="13">_xlfn.CONCAT(T13:V13)</f>
        <v xml:space="preserve">---
layout: reveal
title: 'Übungen: Wie können LLMs für das Programmieren von Datenvisualisierung eingesetzt werden?'
author: 'Nathan Gibson'
session: 12
tags: [12,slides]
category: slides
image: ai-chip.jpg
parallaxBackgroundImage: 'assets/img/ai-chip.jpg'
---
# Einführung in die 
### Religionswissenschaft
{: .r-fit-text}
### Übungen: Wie können LLMs für das Programmieren von Datenvisualisierung eingesetzt werden?
Wintersemester 2025/2026
Prof. Dr. Nathan Gibson
## 📈 Rückblick: Lernziel
Best Practices des Programmierens mit LLMs bezüglich Datenvisualisierung erfassen.
## 📈 Rückblick: 
## Projekt
## Einleitung
## Heutiges Lernziel
Erfahrungen mit Datenvisualisierung sammeln.
## Lektüre
## Diskussion
## Vorschau
</v>
      </c>
    </row>
    <row r="14" spans="1:23" x14ac:dyDescent="0.2">
      <c r="F14" s="4"/>
    </row>
    <row r="15" spans="1:23" x14ac:dyDescent="0.2">
      <c r="F15" s="4"/>
    </row>
  </sheetData>
  <pageMargins left="0.7" right="0.7" top="0.75" bottom="0.75" header="0.3" footer="0.3"/>
  <pageSetup paperSize="9" scale="2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Paul Gibson</cp:lastModifiedBy>
  <cp:lastPrinted>2024-04-18T12:58:24Z</cp:lastPrinted>
  <dcterms:created xsi:type="dcterms:W3CDTF">2023-10-09T09:26:31Z</dcterms:created>
  <dcterms:modified xsi:type="dcterms:W3CDTF">2025-11-14T12:03:06Z</dcterms:modified>
</cp:coreProperties>
</file>